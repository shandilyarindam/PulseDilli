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##"/>
    <numFmt numFmtId="166" formatCode="#,##,##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1F3864"/>
      <sz val="12"/>
    </font>
    <font>
      <name val="Calibri"/>
      <color rgb="001F3864"/>
      <sz val="11"/>
    </font>
    <font>
      <name val="Calibri"/>
      <b val="1"/>
      <color rgb="00FFFFFF"/>
      <sz val="13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F8A"/>
      </patternFill>
    </fill>
    <fill>
      <patternFill patternType="solid">
        <fgColor rgb="00EBF3FF"/>
      </patternFill>
    </fill>
    <fill>
      <patternFill patternType="solid">
        <fgColor rgb="00BDD7EE"/>
      </patternFill>
    </fill>
  </fills>
  <borders count="17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ck">
        <color rgb="001F3864"/>
      </left>
      <right/>
      <top style="thick">
        <color rgb="001F3864"/>
      </top>
      <bottom/>
    </border>
    <border>
      <left/>
      <right/>
      <top style="thick">
        <color rgb="001F3864"/>
      </top>
      <bottom/>
    </border>
    <border>
      <left/>
      <right style="thick">
        <color rgb="001F3864"/>
      </right>
      <top style="thick">
        <color rgb="001F3864"/>
      </top>
      <bottom/>
    </border>
    <border>
      <left style="thick">
        <color rgb="001F3864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ck">
        <color rgb="001F3864"/>
      </right>
      <top style="thin">
        <color rgb="00A6A6A6"/>
      </top>
      <bottom style="thin">
        <color rgb="00A6A6A6"/>
      </bottom>
    </border>
    <border>
      <left style="thick">
        <color rgb="001F3864"/>
      </left>
      <right style="thin">
        <color rgb="00A6A6A6"/>
      </right>
      <top style="thin">
        <color rgb="00A6A6A6"/>
      </top>
      <bottom style="thick">
        <color rgb="001F3864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ck">
        <color rgb="001F3864"/>
      </bottom>
    </border>
    <border>
      <left style="thin">
        <color rgb="00A6A6A6"/>
      </left>
      <right style="thick">
        <color rgb="001F3864"/>
      </right>
      <top style="thin">
        <color rgb="00A6A6A6"/>
      </top>
      <bottom style="thick">
        <color rgb="001F3864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ck">
        <color rgb="001F3864"/>
      </left>
      <right/>
      <top/>
      <bottom/>
    </border>
    <border>
      <left/>
      <right/>
      <top/>
      <bottom/>
    </border>
    <border>
      <left/>
      <right style="thick">
        <color rgb="001F3864"/>
      </right>
      <top/>
      <bottom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0" fontId="0" fillId="2" borderId="3" pivotButton="0" quotePrefix="0" xfId="0"/>
    <xf numFmtId="0" fontId="0" fillId="2" borderId="4" pivotButton="0" quotePrefix="0" xfId="0"/>
    <xf numFmtId="0" fontId="5" fillId="0" borderId="5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5" fillId="0" borderId="7" applyAlignment="1" pivotButton="0" quotePrefix="0" xfId="0">
      <alignment horizontal="left" vertical="top" wrapText="1"/>
    </xf>
    <xf numFmtId="0" fontId="0" fillId="0" borderId="8" pivotButton="0" quotePrefix="0" xfId="0"/>
    <xf numFmtId="164" fontId="0" fillId="0" borderId="8" applyAlignment="1" pivotButton="0" quotePrefix="0" xfId="0">
      <alignment horizontal="righ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9" pivotButton="0" quotePrefix="0" xfId="0"/>
    <xf numFmtId="0" fontId="6" fillId="3" borderId="5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/>
    </xf>
    <xf numFmtId="166" fontId="0" fillId="0" borderId="6" applyAlignment="1" pivotButton="0" quotePrefix="0" xfId="0">
      <alignment horizontal="right" vertical="top" wrapText="1"/>
    </xf>
    <xf numFmtId="0" fontId="0" fillId="4" borderId="5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right" vertical="top" wrapText="1"/>
    </xf>
    <xf numFmtId="166" fontId="0" fillId="4" borderId="6" applyAlignment="1" pivotButton="0" quotePrefix="0" xfId="0">
      <alignment horizontal="right" vertical="top" wrapText="1"/>
    </xf>
    <xf numFmtId="166" fontId="7" fillId="0" borderId="6" applyAlignment="1" pivotButton="0" quotePrefix="0" xfId="0">
      <alignment horizontal="right" vertical="top" wrapText="1"/>
    </xf>
    <xf numFmtId="166" fontId="7" fillId="0" borderId="9" applyAlignment="1" pivotButton="0" quotePrefix="0" xfId="0">
      <alignment horizontal="right" vertical="top" wrapText="1"/>
    </xf>
    <xf numFmtId="3" fontId="0" fillId="0" borderId="1" applyAlignment="1" pivotButton="0" quotePrefix="0" xfId="0">
      <alignment horizontal="right" vertical="top" wrapText="1"/>
    </xf>
    <xf numFmtId="0" fontId="0" fillId="0" borderId="6" applyAlignment="1" pivotButton="0" quotePrefix="0" xfId="0">
      <alignment horizontal="left" vertical="top" wrapText="1"/>
    </xf>
    <xf numFmtId="165" fontId="0" fillId="4" borderId="1" applyAlignment="1" pivotButton="0" quotePrefix="0" xfId="0">
      <alignment horizontal="right" vertical="top" wrapText="1"/>
    </xf>
    <xf numFmtId="3" fontId="0" fillId="4" borderId="1" applyAlignment="1" pivotButton="0" quotePrefix="0" xfId="0">
      <alignment horizontal="right" vertical="top" wrapText="1"/>
    </xf>
    <xf numFmtId="0" fontId="0" fillId="4" borderId="6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right" vertical="top" wrapText="1"/>
    </xf>
    <xf numFmtId="0" fontId="7" fillId="5" borderId="5" applyAlignment="1" pivotButton="0" quotePrefix="0" xfId="0">
      <alignment horizontal="left" vertical="top" wrapText="1"/>
    </xf>
    <xf numFmtId="166" fontId="7" fillId="5" borderId="1" applyAlignment="1" pivotButton="0" quotePrefix="0" xfId="0">
      <alignment horizontal="right" vertical="top" wrapText="1"/>
    </xf>
    <xf numFmtId="0" fontId="0" fillId="5" borderId="6" pivotButton="0" quotePrefix="0" xfId="0"/>
    <xf numFmtId="0" fontId="7" fillId="5" borderId="7" applyAlignment="1" pivotButton="0" quotePrefix="0" xfId="0">
      <alignment horizontal="left" vertical="top" wrapText="1"/>
    </xf>
    <xf numFmtId="166" fontId="7" fillId="5" borderId="8" applyAlignment="1" pivotButton="0" quotePrefix="0" xfId="0">
      <alignment horizontal="right" vertical="top" wrapText="1"/>
    </xf>
    <xf numFmtId="0" fontId="0" fillId="5" borderId="9" pivotButton="0" quotePrefix="0" xfId="0"/>
    <xf numFmtId="0" fontId="8" fillId="0" borderId="5" applyAlignment="1" pivotButton="0" quotePrefix="0" xfId="0">
      <alignment horizontal="left" vertical="top" wrapText="1"/>
    </xf>
    <xf numFmtId="0" fontId="0" fillId="0" borderId="5" pivotButton="0" quotePrefix="0" xfId="0"/>
    <xf numFmtId="166" fontId="0" fillId="0" borderId="1" applyAlignment="1" pivotButton="0" quotePrefix="0" xfId="0">
      <alignment horizontal="right" vertical="top" wrapText="1"/>
    </xf>
    <xf numFmtId="0" fontId="0" fillId="4" borderId="5" pivotButton="0" quotePrefix="0" xfId="0"/>
    <xf numFmtId="166" fontId="0" fillId="4" borderId="1" applyAlignment="1" pivotButton="0" quotePrefix="0" xfId="0">
      <alignment horizontal="right" vertical="top" wrapText="1"/>
    </xf>
    <xf numFmtId="0" fontId="0" fillId="4" borderId="1" pivotButton="0" quotePrefix="0" xfId="0"/>
    <xf numFmtId="0" fontId="0" fillId="4" borderId="6" pivotButton="0" quotePrefix="0" xfId="0"/>
    <xf numFmtId="2" fontId="0" fillId="0" borderId="1" applyAlignment="1" pivotButton="0" quotePrefix="0" xfId="0">
      <alignment horizontal="right" vertical="top" wrapText="1"/>
    </xf>
    <xf numFmtId="2" fontId="0" fillId="4" borderId="1" applyAlignment="1" pivotButton="0" quotePrefix="0" xfId="0">
      <alignment horizontal="right"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9" customWidth="1" min="2" max="2"/>
    <col width="70" customWidth="1" min="3" max="3"/>
    <col width="70" customWidth="1" min="4" max="4"/>
    <col width="23" customWidth="1" min="5" max="5"/>
    <col width="25" customWidth="1" min="6" max="6"/>
    <col width="18" customWidth="1" min="7" max="7"/>
    <col width="70" customWidth="1" min="8" max="8"/>
  </cols>
  <sheetData>
    <row r="1" ht="26" customHeight="1">
      <c r="A1" s="1" t="inlineStr">
        <is>
          <t>Delhi PS-CRM — Project Cost Quotation</t>
        </is>
      </c>
    </row>
    <row r="2" ht="20" customHeight="1">
      <c r="A2" s="2" t="inlineStr">
        <is>
          <t>AI-Powered WhatsApp Civic Complaint Management System</t>
        </is>
      </c>
    </row>
    <row r="3" ht="18" customHeight="1">
      <c r="A3" s="3" t="inlineStr">
        <is>
          <t>Team: 5Baddies | Document: Cost Quotation v2.0 | Excluding all applicable taxes | All prices in INR</t>
        </is>
      </c>
    </row>
    <row r="4"/>
    <row r="5">
      <c r="A5" s="4" t="inlineStr">
        <is>
          <t>SECTION 1 — PROJECT OVERVIEW HEADER</t>
        </is>
      </c>
      <c r="B5" s="5" t="n"/>
      <c r="C5" s="5" t="n"/>
      <c r="D5" s="5" t="n"/>
      <c r="E5" s="5" t="n"/>
      <c r="F5" s="5" t="n"/>
      <c r="G5" s="5" t="n"/>
      <c r="H5" s="6" t="n"/>
    </row>
    <row r="6">
      <c r="A6" s="7" t="inlineStr">
        <is>
          <t>Target Scale:</t>
        </is>
      </c>
      <c r="B6" s="8" t="n"/>
      <c r="C6" s="9" t="inlineStr">
        <is>
          <t>1,00,000 complaints/month across 272 Delhi wards</t>
        </is>
      </c>
      <c r="D6" s="8" t="n"/>
      <c r="E6" s="8" t="n"/>
      <c r="F6" s="8" t="n"/>
      <c r="G6" s="8" t="n"/>
      <c r="H6" s="10" t="n"/>
    </row>
    <row r="7">
      <c r="A7" s="7" t="inlineStr">
        <is>
          <t>Technology Stack:</t>
        </is>
      </c>
      <c r="B7" s="8" t="n"/>
      <c r="C7" s="9" t="inlineStr">
        <is>
          <t>FastAPI, Gemini 2.5 Flash-Lite, Gradient Boosting ML, Azure Cloud, WhatsApp Business API, SendGrid</t>
        </is>
      </c>
      <c r="D7" s="8" t="n"/>
      <c r="E7" s="8" t="n"/>
      <c r="F7" s="8" t="n"/>
      <c r="G7" s="8" t="n"/>
      <c r="H7" s="10" t="n"/>
    </row>
    <row r="8">
      <c r="A8" s="7" t="inlineStr">
        <is>
          <t>Deployment Timeline:</t>
        </is>
      </c>
      <c r="B8" s="8" t="n"/>
      <c r="C8" s="9" t="inlineStr">
        <is>
          <t>2 months</t>
        </is>
      </c>
      <c r="D8" s="8" t="n"/>
      <c r="E8" s="8" t="n"/>
      <c r="F8" s="8" t="n"/>
      <c r="G8" s="8" t="n"/>
      <c r="H8" s="10" t="n"/>
    </row>
    <row r="9">
      <c r="A9" s="7" t="inlineStr">
        <is>
          <t>Languages Supported:</t>
        </is>
      </c>
      <c r="B9" s="8" t="n"/>
      <c r="C9" s="9" t="inlineStr">
        <is>
          <t>Hindi and English</t>
        </is>
      </c>
      <c r="D9" s="8" t="n"/>
      <c r="E9" s="8" t="n"/>
      <c r="F9" s="8" t="n"/>
      <c r="G9" s="8" t="n"/>
      <c r="H9" s="10" t="n"/>
    </row>
    <row r="10">
      <c r="A10" s="11" t="inlineStr">
        <is>
          <t>USD → INR Rate:</t>
        </is>
      </c>
      <c r="B10" s="12" t="n"/>
      <c r="C10" s="13" t="n">
        <v>95.7</v>
      </c>
      <c r="D10" s="14" t="inlineStr">
        <is>
          <t>Mid-market rate for cost formulas</t>
        </is>
      </c>
      <c r="E10" s="12" t="n"/>
      <c r="F10" s="12" t="n"/>
      <c r="G10" s="12" t="n"/>
      <c r="H10" s="15" t="n"/>
    </row>
    <row r="11"/>
    <row r="12"/>
    <row r="13">
      <c r="A13" s="4" t="inlineStr">
        <is>
          <t>SECTION 2 — PHASE-WISE COST SUMMARY</t>
        </is>
      </c>
      <c r="B13" s="5" t="n"/>
      <c r="C13" s="5" t="n"/>
      <c r="D13" s="5" t="n"/>
      <c r="E13" s="5" t="n"/>
      <c r="F13" s="6" t="n"/>
    </row>
    <row r="14">
      <c r="A14" s="16" t="inlineStr">
        <is>
          <t>Phase</t>
        </is>
      </c>
      <c r="B14" s="17" t="inlineStr">
        <is>
          <t>Duration</t>
        </is>
      </c>
      <c r="C14" s="17" t="inlineStr">
        <is>
          <t>Description</t>
        </is>
      </c>
      <c r="D14" s="17" t="inlineStr">
        <is>
          <t>Key Activities</t>
        </is>
      </c>
      <c r="E14" s="17" t="inlineStr">
        <is>
          <t>Est. Complaints/Month</t>
        </is>
      </c>
      <c r="F14" s="18" t="inlineStr">
        <is>
          <t>Phase Cost (Rs.)</t>
        </is>
      </c>
    </row>
    <row r="15">
      <c r="A15" s="19" t="inlineStr">
        <is>
          <t>Phase 1</t>
        </is>
      </c>
      <c r="B15" s="9" t="inlineStr">
        <is>
          <t>Weeks 1-2</t>
        </is>
      </c>
      <c r="C15" s="9" t="inlineStr">
        <is>
          <t>Development and Testing</t>
        </is>
      </c>
      <c r="D15" s="9" t="inlineStr">
        <is>
          <t>Backend complete, WhatsApp bot on test numbers, ML model integrated, staging environment, internal QA</t>
        </is>
      </c>
      <c r="E15" s="20" t="inlineStr">
        <is>
          <t>0</t>
        </is>
      </c>
      <c r="F15" s="21">
        <f>G32</f>
        <v/>
      </c>
    </row>
    <row r="16">
      <c r="A16" s="22" t="inlineStr">
        <is>
          <t>Phase 2</t>
        </is>
      </c>
      <c r="B16" s="23" t="inlineStr">
        <is>
          <t>Weeks 3-4</t>
        </is>
      </c>
      <c r="C16" s="23" t="inlineStr">
        <is>
          <t>Pilot Deployment</t>
        </is>
      </c>
      <c r="D16" s="23" t="inlineStr">
        <is>
          <t>Live in 5 Delhi wards, real citizen complaints, bug fixes, officer onboarding</t>
        </is>
      </c>
      <c r="E16" s="24" t="inlineStr">
        <is>
          <t>1,000</t>
        </is>
      </c>
      <c r="F16" s="25">
        <f>G41</f>
        <v/>
      </c>
    </row>
    <row r="17">
      <c r="A17" s="19" t="inlineStr">
        <is>
          <t>Phase 3</t>
        </is>
      </c>
      <c r="B17" s="9" t="inlineStr">
        <is>
          <t>Weeks 5-6</t>
        </is>
      </c>
      <c r="C17" s="9" t="inlineStr">
        <is>
          <t>Partial Rollout</t>
        </is>
      </c>
      <c r="D17" s="9" t="inlineStr">
        <is>
          <t>Expand to 50 wards, department routing live, ML escalation running on real data</t>
        </is>
      </c>
      <c r="E17" s="20" t="inlineStr">
        <is>
          <t>20,000</t>
        </is>
      </c>
      <c r="F17" s="21">
        <f>G54</f>
        <v/>
      </c>
    </row>
    <row r="18">
      <c r="A18" s="22" t="inlineStr">
        <is>
          <t>Phase 4</t>
        </is>
      </c>
      <c r="B18" s="23" t="inlineStr">
        <is>
          <t>Weeks 7-8</t>
        </is>
      </c>
      <c r="C18" s="23" t="inlineStr">
        <is>
          <t>Full Delhi Deployment</t>
        </is>
      </c>
      <c r="D18" s="23" t="inlineStr">
        <is>
          <t>All 272 wards live, 75,000 complaints/month, full system operational</t>
        </is>
      </c>
      <c r="E18" s="24" t="inlineStr">
        <is>
          <t>75,000</t>
        </is>
      </c>
      <c r="F18" s="25">
        <f>G67</f>
        <v/>
      </c>
    </row>
    <row r="19">
      <c r="A19" s="19" t="inlineStr">
        <is>
          <t>Phase 5</t>
        </is>
      </c>
      <c r="B19" s="9" t="inlineStr">
        <is>
          <t>Month 3 onwards</t>
        </is>
      </c>
      <c r="C19" s="9" t="inlineStr">
        <is>
          <t>Steady State Operations</t>
        </is>
      </c>
      <c r="D19" s="9" t="inlineStr">
        <is>
          <t>Handed to Delhi government IT team. Maintenance only, quarterly ML retraining</t>
        </is>
      </c>
      <c r="E19" s="20" t="inlineStr">
        <is>
          <t>1,00,000</t>
        </is>
      </c>
      <c r="F19" s="21">
        <f>G81</f>
        <v/>
      </c>
    </row>
    <row r="20">
      <c r="A20" s="7" t="inlineStr">
        <is>
          <t>Total Project Cost Phases 1-4</t>
        </is>
      </c>
      <c r="B20" s="8" t="n"/>
      <c r="C20" s="8" t="n"/>
      <c r="D20" s="8" t="n"/>
      <c r="E20" s="8" t="n"/>
      <c r="F20" s="26">
        <f>G32+G41+G54+G67</f>
        <v/>
      </c>
    </row>
    <row r="21">
      <c r="A21" s="11" t="inlineStr">
        <is>
          <t>Annual Maintenance from Month 3</t>
        </is>
      </c>
      <c r="B21" s="12" t="n"/>
      <c r="C21" s="12" t="n"/>
      <c r="D21" s="12" t="n"/>
      <c r="E21" s="12" t="n"/>
      <c r="F21" s="27">
        <f>G81*12</f>
        <v/>
      </c>
    </row>
    <row r="22"/>
    <row r="23">
      <c r="A23" s="4" t="inlineStr">
        <is>
          <t>SECTION 3 — DETAILED LINE-ITEM BREAKDOWN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16" t="inlineStr">
        <is>
          <t>Phase</t>
        </is>
      </c>
      <c r="B24" s="17" t="inlineStr">
        <is>
          <t>Category</t>
        </is>
      </c>
      <c r="C24" s="17" t="inlineStr">
        <is>
          <t>Item</t>
        </is>
      </c>
      <c r="D24" s="17" t="inlineStr">
        <is>
          <t>Specifications and Details</t>
        </is>
      </c>
      <c r="E24" s="17" t="inlineStr">
        <is>
          <t>Quantity / Duration</t>
        </is>
      </c>
      <c r="F24" s="17" t="inlineStr">
        <is>
          <t>Unit Cost (Rs.)</t>
        </is>
      </c>
      <c r="G24" s="17" t="inlineStr">
        <is>
          <t>Total Cost (Rs.)</t>
        </is>
      </c>
      <c r="H24" s="18" t="inlineStr">
        <is>
          <t>Notes</t>
        </is>
      </c>
    </row>
    <row r="25">
      <c r="A25" s="19" t="inlineStr">
        <is>
          <t>Phase 1</t>
        </is>
      </c>
      <c r="B25" s="9" t="inlineStr">
        <is>
          <t>Team</t>
        </is>
      </c>
      <c r="C25" s="9" t="inlineStr">
        <is>
          <t>Student Developer Stipends</t>
        </is>
      </c>
      <c r="D25" s="9" t="inlineStr">
        <is>
          <t>5 students × 2 weeks (0.5 month) @ Rs. 18,000/person/month</t>
        </is>
      </c>
      <c r="E25" s="28" t="n">
        <v>5</v>
      </c>
      <c r="F25" s="28" t="n">
        <v>9000</v>
      </c>
      <c r="G25" s="28">
        <f>E25*F25</f>
        <v/>
      </c>
      <c r="H25" s="29" t="inlineStr">
        <is>
          <t>Rs. 18,000/person/month × 0.5 month × 5 students = Rs. 45,000</t>
        </is>
      </c>
    </row>
    <row r="26">
      <c r="A26" s="22" t="inlineStr">
        <is>
          <t>Phase 1</t>
        </is>
      </c>
      <c r="B26" s="23" t="inlineStr">
        <is>
          <t>Infrastructure</t>
        </is>
      </c>
      <c r="C26" s="23" t="inlineStr">
        <is>
          <t>Azure Container Apps Staging</t>
        </is>
      </c>
      <c r="D26" s="23" t="inlineStr">
        <is>
          <t>Staging FastAPI backend for internal testing</t>
        </is>
      </c>
      <c r="E26" s="30" t="n">
        <v>0.5</v>
      </c>
      <c r="F26" s="31" t="n">
        <v>4000</v>
      </c>
      <c r="G26" s="31">
        <f>E26*F26</f>
        <v/>
      </c>
      <c r="H26" s="32" t="inlineStr">
        <is>
          <t>Minimal staging instance</t>
        </is>
      </c>
    </row>
    <row r="27">
      <c r="A27" s="19" t="inlineStr">
        <is>
          <t>Phase 1</t>
        </is>
      </c>
      <c r="B27" s="9" t="inlineStr">
        <is>
          <t>Infrastructure</t>
        </is>
      </c>
      <c r="C27" s="9" t="inlineStr">
        <is>
          <t>Azure Database for PostgreSQL Staging</t>
        </is>
      </c>
      <c r="D27" s="9" t="inlineStr">
        <is>
          <t>Managed database for development and testing</t>
        </is>
      </c>
      <c r="E27" s="33" t="n">
        <v>0.5</v>
      </c>
      <c r="F27" s="28" t="n">
        <v>2500</v>
      </c>
      <c r="G27" s="28">
        <f>E27*F27</f>
        <v/>
      </c>
      <c r="H27" s="29" t="inlineStr">
        <is>
          <t>Burstable B1ms tier</t>
        </is>
      </c>
    </row>
    <row r="28">
      <c r="A28" s="22" t="inlineStr">
        <is>
          <t>Phase 1</t>
        </is>
      </c>
      <c r="B28" s="23" t="inlineStr">
        <is>
          <t>Testing</t>
        </is>
      </c>
      <c r="C28" s="23" t="inlineStr">
        <is>
          <t>WhatsApp API Sandbox</t>
        </is>
      </c>
      <c r="D28" s="23" t="inlineStr">
        <is>
          <t>Meta WhatsApp Business API test numbers and sandbox</t>
        </is>
      </c>
      <c r="E28" s="31" t="n">
        <v>1</v>
      </c>
      <c r="F28" s="31" t="n">
        <v>5000</v>
      </c>
      <c r="G28" s="31">
        <f>E28*F28</f>
        <v/>
      </c>
      <c r="H28" s="32" t="inlineStr">
        <is>
          <t>Test message costs</t>
        </is>
      </c>
    </row>
    <row r="29">
      <c r="A29" s="19" t="inlineStr">
        <is>
          <t>Phase 1</t>
        </is>
      </c>
      <c r="B29" s="9" t="inlineStr">
        <is>
          <t>Testing</t>
        </is>
      </c>
      <c r="C29" s="9" t="inlineStr">
        <is>
          <t>API Integration Testing</t>
        </is>
      </c>
      <c r="D29" s="9" t="inlineStr">
        <is>
          <t>Gemini API test calls, SendGrid test emails, staging instance</t>
        </is>
      </c>
      <c r="E29" s="28" t="n">
        <v>1</v>
      </c>
      <c r="F29" s="28" t="n">
        <v>4000</v>
      </c>
      <c r="G29" s="28">
        <f>E29*F29</f>
        <v/>
      </c>
      <c r="H29" s="29" t="inlineStr">
        <is>
          <t>All third-party API test costs</t>
        </is>
      </c>
    </row>
    <row r="30">
      <c r="A30" s="22" t="inlineStr">
        <is>
          <t>Phase 1</t>
        </is>
      </c>
      <c r="B30" s="23" t="inlineStr">
        <is>
          <t>Testing</t>
        </is>
      </c>
      <c r="C30" s="23" t="inlineStr">
        <is>
          <t>Gemini Audio API Testing</t>
        </is>
      </c>
      <c r="D30" s="23" t="inlineStr">
        <is>
          <t>Voice note transcription and classification testing via Gemini Audio API</t>
        </is>
      </c>
      <c r="E30" s="31" t="n">
        <v>1</v>
      </c>
      <c r="F30" s="31" t="n">
        <v>1000</v>
      </c>
      <c r="G30" s="31">
        <f>E30*F30</f>
        <v/>
      </c>
      <c r="H30" s="32" t="inlineStr">
        <is>
          <t>Audio API test costs for voice complaints</t>
        </is>
      </c>
    </row>
    <row r="31">
      <c r="A31" s="19" t="inlineStr">
        <is>
          <t>Phase 1</t>
        </is>
      </c>
      <c r="B31" s="9" t="inlineStr">
        <is>
          <t>Contingency</t>
        </is>
      </c>
      <c r="C31" s="9" t="inlineStr">
        <is>
          <t>Contingency Reserve</t>
        </is>
      </c>
      <c r="D31" s="9" t="inlineStr">
        <is>
          <t>Buffer for unexpected API overages, infra spikes, or integration issues</t>
        </is>
      </c>
      <c r="E31" s="28" t="n">
        <v>1</v>
      </c>
      <c r="F31" s="28" t="n">
        <v>5000</v>
      </c>
      <c r="G31" s="28">
        <f>E31*F31</f>
        <v/>
      </c>
      <c r="H31" s="29" t="inlineStr">
        <is>
          <t>Rs. 5,000 per half-month</t>
        </is>
      </c>
    </row>
    <row r="32">
      <c r="A32" s="34" t="inlineStr">
        <is>
          <t>Phase 1 Subtotal</t>
        </is>
      </c>
      <c r="B32" s="8" t="n"/>
      <c r="C32" s="8" t="n"/>
      <c r="D32" s="8" t="n"/>
      <c r="E32" s="8" t="n"/>
      <c r="F32" s="8" t="n"/>
      <c r="G32" s="35">
        <f>SUM(G25:G31)</f>
        <v/>
      </c>
      <c r="H32" s="36" t="n"/>
    </row>
    <row r="33">
      <c r="A33" s="22" t="inlineStr">
        <is>
          <t>Phase 2</t>
        </is>
      </c>
      <c r="B33" s="23" t="inlineStr">
        <is>
          <t>Team</t>
        </is>
      </c>
      <c r="C33" s="23" t="inlineStr">
        <is>
          <t>Student Developer Stipends</t>
        </is>
      </c>
      <c r="D33" s="23" t="inlineStr">
        <is>
          <t>5 students × 2 weeks (0.5 month) @ Rs. 18,000/person/month</t>
        </is>
      </c>
      <c r="E33" s="31" t="n">
        <v>5</v>
      </c>
      <c r="F33" s="31" t="n">
        <v>9000</v>
      </c>
      <c r="G33" s="31">
        <f>E33*F33</f>
        <v/>
      </c>
      <c r="H33" s="32" t="inlineStr">
        <is>
          <t>Rs. 18,000/person/month × 0.5 month × 5 students = Rs. 45,000</t>
        </is>
      </c>
    </row>
    <row r="34">
      <c r="A34" s="19" t="inlineStr">
        <is>
          <t>Phase 2</t>
        </is>
      </c>
      <c r="B34" s="9" t="inlineStr">
        <is>
          <t>Infrastructure</t>
        </is>
      </c>
      <c r="C34" s="9" t="inlineStr">
        <is>
          <t>Azure Container Apps</t>
        </is>
      </c>
      <c r="D34" s="9" t="inlineStr">
        <is>
          <t>Live backend for 5-ward pilot</t>
        </is>
      </c>
      <c r="E34" s="33" t="n">
        <v>0.5</v>
      </c>
      <c r="F34" s="28" t="n">
        <v>4000</v>
      </c>
      <c r="G34" s="28">
        <f>E34*F34</f>
        <v/>
      </c>
      <c r="H34" s="29" t="inlineStr">
        <is>
          <t>Small instance</t>
        </is>
      </c>
    </row>
    <row r="35">
      <c r="A35" s="22" t="inlineStr">
        <is>
          <t>Phase 2</t>
        </is>
      </c>
      <c r="B35" s="23" t="inlineStr">
        <is>
          <t>Infrastructure</t>
        </is>
      </c>
      <c r="C35" s="23" t="inlineStr">
        <is>
          <t>Azure Database for PostgreSQL</t>
        </is>
      </c>
      <c r="D35" s="23" t="inlineStr">
        <is>
          <t>Live database for pilot</t>
        </is>
      </c>
      <c r="E35" s="30" t="n">
        <v>0.5</v>
      </c>
      <c r="F35" s="31" t="n">
        <v>2500</v>
      </c>
      <c r="G35" s="31">
        <f>E35*F35</f>
        <v/>
      </c>
      <c r="H35" s="32" t="inlineStr">
        <is>
          <t>Burstable tier</t>
        </is>
      </c>
    </row>
    <row r="36">
      <c r="A36" s="19" t="inlineStr">
        <is>
          <t>Phase 2</t>
        </is>
      </c>
      <c r="B36" s="9" t="inlineStr">
        <is>
          <t>Infrastructure</t>
        </is>
      </c>
      <c r="C36" s="9" t="inlineStr">
        <is>
          <t>Azure Blob Storage</t>
        </is>
      </c>
      <c r="D36" s="9" t="inlineStr">
        <is>
          <t>Photo evidence for pilot complaints</t>
        </is>
      </c>
      <c r="E36" s="33" t="n">
        <v>0.5</v>
      </c>
      <c r="F36" s="28" t="n">
        <v>500</v>
      </c>
      <c r="G36" s="28">
        <f>E36*F36</f>
        <v/>
      </c>
      <c r="H36" s="29" t="inlineStr">
        <is>
          <t>Minimal at 1K complaints</t>
        </is>
      </c>
    </row>
    <row r="37">
      <c r="A37" s="22" t="inlineStr">
        <is>
          <t>Phase 2</t>
        </is>
      </c>
      <c r="B37" s="23" t="inlineStr">
        <is>
          <t>AI and ML</t>
        </is>
      </c>
      <c r="C37" s="23" t="inlineStr">
        <is>
          <t>Gemini 2.5 Flash-Lite API</t>
        </is>
      </c>
      <c r="D37" s="23" t="inlineStr">
        <is>
          <t>AI classification for 1,000 pilot complaints</t>
        </is>
      </c>
      <c r="E37" s="31" t="n">
        <v>1000</v>
      </c>
      <c r="F37" s="30" t="n">
        <v>0.057</v>
      </c>
      <c r="G37" s="31">
        <f>E37*F37</f>
        <v/>
      </c>
      <c r="H37" s="32" t="inlineStr">
        <is>
          <t>$0.10/M input + $0.40/M output @ 95.7 INR/USD, 30% voice mix = Rs. 0.057/call</t>
        </is>
      </c>
    </row>
    <row r="38">
      <c r="A38" s="19" t="inlineStr">
        <is>
          <t>Phase 2</t>
        </is>
      </c>
      <c r="B38" s="9" t="inlineStr">
        <is>
          <t>Communication</t>
        </is>
      </c>
      <c r="C38" s="9" t="inlineStr">
        <is>
          <t>WhatsApp Business API</t>
        </is>
      </c>
      <c r="D38" s="9" t="inlineStr">
        <is>
          <t>Live messaging for 5-ward pilot</t>
        </is>
      </c>
      <c r="E38" s="28" t="n">
        <v>1000</v>
      </c>
      <c r="F38" s="33" t="n">
        <v>0.1</v>
      </c>
      <c r="G38" s="28">
        <f>E38*F38</f>
        <v/>
      </c>
      <c r="H38" s="29" t="inlineStr">
        <is>
          <t>Per-message pricing (July 2025). Utility templates FREE within 24h customer service window. Rs. 0.145/utility template only outside window. ~20% complaints expect notification outside CSW.</t>
        </is>
      </c>
    </row>
    <row r="39">
      <c r="A39" s="22" t="inlineStr">
        <is>
          <t>Phase 2</t>
        </is>
      </c>
      <c r="B39" s="23" t="inlineStr">
        <is>
          <t>Communication</t>
        </is>
      </c>
      <c r="C39" s="23" t="inlineStr">
        <is>
          <t>SendGrid</t>
        </is>
      </c>
      <c r="D39" s="23" t="inlineStr">
        <is>
          <t>Department notification emails</t>
        </is>
      </c>
      <c r="E39" s="31" t="n">
        <v>1</v>
      </c>
      <c r="F39" s="31" t="n">
        <v>100</v>
      </c>
      <c r="G39" s="31">
        <f>E39*F39</f>
        <v/>
      </c>
      <c r="H39" s="32" t="inlineStr">
        <is>
          <t>Free tier covers 1K emails</t>
        </is>
      </c>
    </row>
    <row r="40">
      <c r="A40" s="19" t="inlineStr">
        <is>
          <t>Phase 2</t>
        </is>
      </c>
      <c r="B40" s="9" t="inlineStr">
        <is>
          <t>Contingency</t>
        </is>
      </c>
      <c r="C40" s="9" t="inlineStr">
        <is>
          <t>Contingency Reserve</t>
        </is>
      </c>
      <c r="D40" s="9" t="inlineStr">
        <is>
          <t>Buffer for unexpected API overages, infra spikes, or integration issues</t>
        </is>
      </c>
      <c r="E40" s="28" t="n">
        <v>1</v>
      </c>
      <c r="F40" s="28" t="n">
        <v>5000</v>
      </c>
      <c r="G40" s="28">
        <f>E40*F40</f>
        <v/>
      </c>
      <c r="H40" s="29" t="inlineStr">
        <is>
          <t>Rs. 5,000 per half-month</t>
        </is>
      </c>
    </row>
    <row r="41">
      <c r="A41" s="34" t="inlineStr">
        <is>
          <t>Phase 2 Subtotal</t>
        </is>
      </c>
      <c r="B41" s="8" t="n"/>
      <c r="C41" s="8" t="n"/>
      <c r="D41" s="8" t="n"/>
      <c r="E41" s="8" t="n"/>
      <c r="F41" s="8" t="n"/>
      <c r="G41" s="35">
        <f>SUM(G33:G40)</f>
        <v/>
      </c>
      <c r="H41" s="36" t="n"/>
    </row>
    <row r="42">
      <c r="A42" s="22" t="inlineStr">
        <is>
          <t>Phase 3</t>
        </is>
      </c>
      <c r="B42" s="23" t="inlineStr">
        <is>
          <t>Team</t>
        </is>
      </c>
      <c r="C42" s="23" t="inlineStr">
        <is>
          <t>Student Developer Stipends</t>
        </is>
      </c>
      <c r="D42" s="23" t="inlineStr">
        <is>
          <t>5 students × 2 weeks (0.5 month) @ Rs. 18,000/person/month</t>
        </is>
      </c>
      <c r="E42" s="31" t="n">
        <v>5</v>
      </c>
      <c r="F42" s="31" t="n">
        <v>9000</v>
      </c>
      <c r="G42" s="31">
        <f>E42*F42</f>
        <v/>
      </c>
      <c r="H42" s="32" t="inlineStr">
        <is>
          <t>Rs. 18,000/person/month × 0.5 month × 5 students = Rs. 45,000</t>
        </is>
      </c>
    </row>
    <row r="43">
      <c r="A43" s="19" t="inlineStr">
        <is>
          <t>Phase 3</t>
        </is>
      </c>
      <c r="B43" s="9" t="inlineStr">
        <is>
          <t>Infrastructure</t>
        </is>
      </c>
      <c r="C43" s="9" t="inlineStr">
        <is>
          <t>Azure Container Apps</t>
        </is>
      </c>
      <c r="D43" s="9" t="inlineStr">
        <is>
          <t>Scaled backend for 50 wards</t>
        </is>
      </c>
      <c r="E43" s="33" t="n">
        <v>0.5</v>
      </c>
      <c r="F43" s="28" t="n">
        <v>16000</v>
      </c>
      <c r="G43" s="28">
        <f>E43*F43</f>
        <v/>
      </c>
      <c r="H43" s="29" t="inlineStr">
        <is>
          <t>Medium instance</t>
        </is>
      </c>
    </row>
    <row r="44">
      <c r="A44" s="22" t="inlineStr">
        <is>
          <t>Phase 3</t>
        </is>
      </c>
      <c r="B44" s="23" t="inlineStr">
        <is>
          <t>Infrastructure</t>
        </is>
      </c>
      <c r="C44" s="23" t="inlineStr">
        <is>
          <t>Azure Database for PostgreSQL Flexible</t>
        </is>
      </c>
      <c r="D44" s="23" t="inlineStr">
        <is>
          <t>Production-grade database with backups</t>
        </is>
      </c>
      <c r="E44" s="30" t="n">
        <v>0.5</v>
      </c>
      <c r="F44" s="31">
        <f>ROUND(163.52*$C$10,0)</f>
        <v/>
      </c>
      <c r="G44" s="31">
        <f>E44*F44</f>
        <v/>
      </c>
      <c r="H44" s="32" t="inlineStr">
        <is>
          <t>General Purpose D2ds v6, 2 vCore, 8 GiB — $163.52/mo PAYG × FX</t>
        </is>
      </c>
    </row>
    <row r="45">
      <c r="A45" s="19" t="inlineStr">
        <is>
          <t>Phase 3</t>
        </is>
      </c>
      <c r="B45" s="9" t="inlineStr">
        <is>
          <t>Infrastructure</t>
        </is>
      </c>
      <c r="C45" s="9" t="inlineStr">
        <is>
          <t>Azure Blob Storage</t>
        </is>
      </c>
      <c r="D45" s="9" t="inlineStr">
        <is>
          <t>40GB photo storage at 20K complaints</t>
        </is>
      </c>
      <c r="E45" s="33" t="n">
        <v>0.5</v>
      </c>
      <c r="F45" s="28" t="n">
        <v>1500</v>
      </c>
      <c r="G45" s="28">
        <f>E45*F45</f>
        <v/>
      </c>
      <c r="H45" s="29" t="inlineStr">
        <is>
          <t>LRS redundancy</t>
        </is>
      </c>
    </row>
    <row r="46">
      <c r="A46" s="22" t="inlineStr">
        <is>
          <t>Phase 3</t>
        </is>
      </c>
      <c r="B46" s="23" t="inlineStr">
        <is>
          <t>Infrastructure</t>
        </is>
      </c>
      <c r="C46" s="23" t="inlineStr">
        <is>
          <t>Azure Monitor</t>
        </is>
      </c>
      <c r="D46" s="23" t="inlineStr">
        <is>
          <t>Observability and alerting</t>
        </is>
      </c>
      <c r="E46" s="30" t="n">
        <v>0.5</v>
      </c>
      <c r="F46" s="31" t="n">
        <v>1500</v>
      </c>
      <c r="G46" s="31">
        <f>E46*F46</f>
        <v/>
      </c>
      <c r="H46" s="32" t="inlineStr">
        <is>
          <t>Required for SLA</t>
        </is>
      </c>
    </row>
    <row r="47">
      <c r="A47" s="19" t="inlineStr">
        <is>
          <t>Phase 3</t>
        </is>
      </c>
      <c r="B47" s="9" t="inlineStr">
        <is>
          <t>Infrastructure</t>
        </is>
      </c>
      <c r="C47" s="9" t="inlineStr">
        <is>
          <t>Azure Service Bus</t>
        </is>
      </c>
      <c r="D47" s="9" t="inlineStr">
        <is>
          <t>Webhook event queuing at 20K/month</t>
        </is>
      </c>
      <c r="E47" s="33" t="n">
        <v>0.5</v>
      </c>
      <c r="F47" s="28" t="n">
        <v>1000</v>
      </c>
      <c r="G47" s="28">
        <f>E47*F47</f>
        <v/>
      </c>
      <c r="H47" s="29" t="inlineStr">
        <is>
          <t>Standard tier</t>
        </is>
      </c>
    </row>
    <row r="48">
      <c r="A48" s="22" t="inlineStr">
        <is>
          <t>Phase 3</t>
        </is>
      </c>
      <c r="B48" s="23" t="inlineStr">
        <is>
          <t>AI and ML</t>
        </is>
      </c>
      <c r="C48" s="23" t="inlineStr">
        <is>
          <t>Gemini 2.5 Flash-Lite API</t>
        </is>
      </c>
      <c r="D48" s="23" t="inlineStr">
        <is>
          <t>AI classification for 20,000 complaints</t>
        </is>
      </c>
      <c r="E48" s="31" t="n">
        <v>20000</v>
      </c>
      <c r="F48" s="30" t="n">
        <v>0.017</v>
      </c>
      <c r="G48" s="31">
        <f>E48*F48</f>
        <v/>
      </c>
      <c r="H48" s="32" t="inlineStr">
        <is>
          <t>Rs. 0.017/call avg with voice mix, rounded up</t>
        </is>
      </c>
    </row>
    <row r="49">
      <c r="A49" s="19" t="inlineStr">
        <is>
          <t>Phase 3</t>
        </is>
      </c>
      <c r="B49" s="9" t="inlineStr">
        <is>
          <t>AI and ML</t>
        </is>
      </c>
      <c r="C49" s="9" t="inlineStr">
        <is>
          <t>Azure Machine Learning</t>
        </is>
      </c>
      <c r="D49" s="9" t="inlineStr">
        <is>
          <t>First retraining run on real pilot data</t>
        </is>
      </c>
      <c r="E49" s="28" t="n">
        <v>1</v>
      </c>
      <c r="F49" s="28" t="n">
        <v>8000</v>
      </c>
      <c r="G49" s="28">
        <f>E49*F49</f>
        <v/>
      </c>
      <c r="H49" s="29" t="inlineStr">
        <is>
          <t>Gradient Boosting retraining</t>
        </is>
      </c>
    </row>
    <row r="50">
      <c r="A50" s="22" t="inlineStr">
        <is>
          <t>Phase 3</t>
        </is>
      </c>
      <c r="B50" s="23" t="inlineStr">
        <is>
          <t>Communication</t>
        </is>
      </c>
      <c r="C50" s="23" t="inlineStr">
        <is>
          <t>WhatsApp Business API</t>
        </is>
      </c>
      <c r="D50" s="23" t="inlineStr">
        <is>
          <t>Messaging for 50-ward citizens</t>
        </is>
      </c>
      <c r="E50" s="31" t="n">
        <v>20000</v>
      </c>
      <c r="F50" s="30" t="n">
        <v>0.06</v>
      </c>
      <c r="G50" s="31">
        <f>E50*F50</f>
        <v/>
      </c>
      <c r="H50" s="32" t="inlineStr">
        <is>
          <t>2 utility templates × 20% outside 24h window × Rs. 0.145 = Rs. 0.058/complaint</t>
        </is>
      </c>
    </row>
    <row r="51">
      <c r="A51" s="19" t="inlineStr">
        <is>
          <t>Phase 3</t>
        </is>
      </c>
      <c r="B51" s="9" t="inlineStr">
        <is>
          <t>Communication</t>
        </is>
      </c>
      <c r="C51" s="9" t="inlineStr">
        <is>
          <t>SendGrid Essentials 50K</t>
        </is>
      </c>
      <c r="D51" s="9" t="inlineStr">
        <is>
          <t>$19.95/mo (converted via FX cell)</t>
        </is>
      </c>
      <c r="E51" s="33" t="n">
        <v>0.5</v>
      </c>
      <c r="F51" s="28">
        <f>ROUND(19.95*$C$10,0)</f>
        <v/>
      </c>
      <c r="G51" s="28">
        <f>E51*F51</f>
        <v/>
      </c>
      <c r="H51" s="29" t="inlineStr">
        <is>
          <t>Essentials plan</t>
        </is>
      </c>
    </row>
    <row r="52">
      <c r="A52" s="22" t="inlineStr">
        <is>
          <t>Phase 3</t>
        </is>
      </c>
      <c r="B52" s="23" t="inlineStr">
        <is>
          <t>Infrastructure</t>
        </is>
      </c>
      <c r="C52" s="23" t="inlineStr">
        <is>
          <t>Azure Front Door CDN</t>
        </is>
      </c>
      <c r="D52" s="23" t="inlineStr">
        <is>
          <t>Officer dashboard CDN, domain, SSL</t>
        </is>
      </c>
      <c r="E52" s="30" t="n">
        <v>0.5</v>
      </c>
      <c r="F52" s="31">
        <f>ROUND(330*$C$10,0)</f>
        <v/>
      </c>
      <c r="G52" s="31">
        <f>E52*F52</f>
        <v/>
      </c>
      <c r="H52" s="32" t="inlineStr">
        <is>
          <t>Premium tier — managed WAF ruleset + DDoS ($330/mo × FX)</t>
        </is>
      </c>
    </row>
    <row r="53">
      <c r="A53" s="19" t="inlineStr">
        <is>
          <t>Phase 3</t>
        </is>
      </c>
      <c r="B53" s="9" t="inlineStr">
        <is>
          <t>Contingency</t>
        </is>
      </c>
      <c r="C53" s="9" t="inlineStr">
        <is>
          <t>Contingency Reserve</t>
        </is>
      </c>
      <c r="D53" s="9" t="inlineStr">
        <is>
          <t>Buffer for unexpected API overages, infra spikes, or integration issues</t>
        </is>
      </c>
      <c r="E53" s="28" t="n">
        <v>1</v>
      </c>
      <c r="F53" s="28" t="n">
        <v>5000</v>
      </c>
      <c r="G53" s="28">
        <f>E53*F53</f>
        <v/>
      </c>
      <c r="H53" s="29" t="inlineStr">
        <is>
          <t>Rs. 5,000 per half-month</t>
        </is>
      </c>
    </row>
    <row r="54">
      <c r="A54" s="34" t="inlineStr">
        <is>
          <t>Phase 3 Subtotal</t>
        </is>
      </c>
      <c r="B54" s="8" t="n"/>
      <c r="C54" s="8" t="n"/>
      <c r="D54" s="8" t="n"/>
      <c r="E54" s="8" t="n"/>
      <c r="F54" s="8" t="n"/>
      <c r="G54" s="35">
        <f>SUM(G42:G53)</f>
        <v/>
      </c>
      <c r="H54" s="36" t="n"/>
    </row>
    <row r="55">
      <c r="A55" s="22" t="inlineStr">
        <is>
          <t>Phase 4</t>
        </is>
      </c>
      <c r="B55" s="23" t="inlineStr">
        <is>
          <t>Team</t>
        </is>
      </c>
      <c r="C55" s="23" t="inlineStr">
        <is>
          <t>Student Developer Stipends</t>
        </is>
      </c>
      <c r="D55" s="23" t="inlineStr">
        <is>
          <t>5 students × 2 weeks (0.5 month) @ Rs. 18,000/person/month</t>
        </is>
      </c>
      <c r="E55" s="31" t="n">
        <v>5</v>
      </c>
      <c r="F55" s="31" t="n">
        <v>9000</v>
      </c>
      <c r="G55" s="31">
        <f>E55*F55</f>
        <v/>
      </c>
      <c r="H55" s="32" t="inlineStr">
        <is>
          <t>Rs. 18,000/person/month × 0.5 month × 5 students = Rs. 45,000</t>
        </is>
      </c>
    </row>
    <row r="56">
      <c r="A56" s="19" t="inlineStr">
        <is>
          <t>Phase 4</t>
        </is>
      </c>
      <c r="B56" s="9" t="inlineStr">
        <is>
          <t>Infrastructure</t>
        </is>
      </c>
      <c r="C56" s="9" t="inlineStr">
        <is>
          <t>Azure Container Apps</t>
        </is>
      </c>
      <c r="D56" s="9" t="inlineStr">
        <is>
          <t>Full-scale auto-scaling for 272 wards</t>
        </is>
      </c>
      <c r="E56" s="33" t="n">
        <v>0.5</v>
      </c>
      <c r="F56" s="28" t="n">
        <v>18000</v>
      </c>
      <c r="G56" s="28">
        <f>E56*F56</f>
        <v/>
      </c>
      <c r="H56" s="29" t="inlineStr">
        <is>
          <t>Consumption plan, min 3 replicas across AZs for zone
     redundancy (no dedicated plan required)</t>
        </is>
      </c>
    </row>
    <row r="57">
      <c r="A57" s="22" t="inlineStr">
        <is>
          <t>Phase 4</t>
        </is>
      </c>
      <c r="B57" s="23" t="inlineStr">
        <is>
          <t>Infrastructure</t>
        </is>
      </c>
      <c r="C57" s="23" t="inlineStr">
        <is>
          <t>Azure Database for PostgreSQL</t>
        </is>
      </c>
      <c r="D57" s="23" t="inlineStr">
        <is>
          <t>High-availability production DB with geo-redundant backups and Indian data residency compliance</t>
        </is>
      </c>
      <c r="E57" s="30" t="n">
        <v>0.5</v>
      </c>
      <c r="F57" s="31" t="n">
        <v>33600</v>
      </c>
      <c r="G57" s="31">
        <f>E57*F57</f>
        <v/>
      </c>
      <c r="H57" s="32" t="inlineStr">
        <is>
          <t>GP D2ds v6 + Zone-Redundant HA (primary + secondary both
     billed = 2x compute). PostgreSQL Flexible Server has no
     Business Critical tier.</t>
        </is>
      </c>
    </row>
    <row r="58">
      <c r="A58" s="19" t="inlineStr">
        <is>
          <t>Phase 4</t>
        </is>
      </c>
      <c r="B58" s="9" t="inlineStr">
        <is>
          <t>Infrastructure</t>
        </is>
      </c>
      <c r="C58" s="9" t="inlineStr">
        <is>
          <t>Azure Blob Storage</t>
        </is>
      </c>
      <c r="D58" s="9" t="inlineStr">
        <is>
          <t>200GB photo storage at 1L complaints/month</t>
        </is>
      </c>
      <c r="E58" s="33" t="n">
        <v>0.5</v>
      </c>
      <c r="F58" s="28" t="n">
        <v>4000</v>
      </c>
      <c r="G58" s="28">
        <f>E58*F58</f>
        <v/>
      </c>
      <c r="H58" s="29" t="inlineStr">
        <is>
          <t>GRS geo-redundant</t>
        </is>
      </c>
    </row>
    <row r="59">
      <c r="A59" s="22" t="inlineStr">
        <is>
          <t>Phase 4</t>
        </is>
      </c>
      <c r="B59" s="23" t="inlineStr">
        <is>
          <t>Infrastructure</t>
        </is>
      </c>
      <c r="C59" s="23" t="inlineStr">
        <is>
          <t>Azure Monitor</t>
        </is>
      </c>
      <c r="D59" s="23" t="inlineStr">
        <is>
          <t>Full production observability with custom dashboards</t>
        </is>
      </c>
      <c r="E59" s="30" t="n">
        <v>0.5</v>
      </c>
      <c r="F59" s="31" t="n">
        <v>5000</v>
      </c>
      <c r="G59" s="31">
        <f>E59*F59</f>
        <v/>
      </c>
      <c r="H59" s="32" t="inlineStr">
        <is>
          <t>90-day log retention</t>
        </is>
      </c>
    </row>
    <row r="60">
      <c r="A60" s="19" t="inlineStr">
        <is>
          <t>Phase 4</t>
        </is>
      </c>
      <c r="B60" s="9" t="inlineStr">
        <is>
          <t>Infrastructure</t>
        </is>
      </c>
      <c r="C60" s="9" t="inlineStr">
        <is>
          <t>Azure Service Bus</t>
        </is>
      </c>
      <c r="D60" s="9" t="inlineStr">
        <is>
          <t>Standard tier — 100K msgs/mo is well within Standard limits.
     Premium ($677+/mo) is not warranted at this volume.</t>
        </is>
      </c>
      <c r="E60" s="33" t="n">
        <v>0.5</v>
      </c>
      <c r="F60" s="28" t="n">
        <v>1100</v>
      </c>
      <c r="G60" s="28">
        <f>E60*F60</f>
        <v/>
      </c>
      <c r="H60" s="29" t="inlineStr">
        <is>
          <t>Standard tier</t>
        </is>
      </c>
    </row>
    <row r="61">
      <c r="A61" s="22" t="inlineStr">
        <is>
          <t>Phase 4</t>
        </is>
      </c>
      <c r="B61" s="23" t="inlineStr">
        <is>
          <t>Infrastructure</t>
        </is>
      </c>
      <c r="C61" s="23" t="inlineStr">
        <is>
          <t>Azure Front Door CDN</t>
        </is>
      </c>
      <c r="D61" s="23" t="inlineStr">
        <is>
          <t>Full production CDN with WAF and DDoS protection</t>
        </is>
      </c>
      <c r="E61" s="30" t="n">
        <v>0.5</v>
      </c>
      <c r="F61" s="31">
        <f>ROUND(330*$C$10,0)</f>
        <v/>
      </c>
      <c r="G61" s="31">
        <f>E61*F61</f>
        <v/>
      </c>
      <c r="H61" s="32" t="inlineStr">
        <is>
          <t>Premium tier — managed WAF ruleset + DDoS ($330/mo × FX)</t>
        </is>
      </c>
    </row>
    <row r="62">
      <c r="A62" s="19" t="inlineStr">
        <is>
          <t>Phase 4</t>
        </is>
      </c>
      <c r="B62" s="9" t="inlineStr">
        <is>
          <t>AI and ML</t>
        </is>
      </c>
      <c r="C62" s="9" t="inlineStr">
        <is>
          <t>Gemini 2.5 Flash-Lite API</t>
        </is>
      </c>
      <c r="D62" s="9" t="inlineStr">
        <is>
          <t>Full-scale classification at 75,000 complaints/month</t>
        </is>
      </c>
      <c r="E62" s="28" t="n">
        <v>75000</v>
      </c>
      <c r="F62" s="33" t="n">
        <v>0.014</v>
      </c>
      <c r="G62" s="28">
        <f>E62*F62</f>
        <v/>
      </c>
      <c r="H62" s="29" t="inlineStr">
        <is>
          <t>Full scale with 30% voice mix</t>
        </is>
      </c>
    </row>
    <row r="63">
      <c r="A63" s="22" t="inlineStr">
        <is>
          <t>Phase 4</t>
        </is>
      </c>
      <c r="B63" s="23" t="inlineStr">
        <is>
          <t>AI and ML</t>
        </is>
      </c>
      <c r="C63" s="23" t="inlineStr">
        <is>
          <t>Azure Machine Learning</t>
        </is>
      </c>
      <c r="D63" s="23" t="inlineStr">
        <is>
          <t>Second retraining on expanded real complaint dataset</t>
        </is>
      </c>
      <c r="E63" s="31" t="n">
        <v>1</v>
      </c>
      <c r="F63" s="31" t="n">
        <v>8000</v>
      </c>
      <c r="G63" s="31">
        <f>E63*F63</f>
        <v/>
      </c>
      <c r="H63" s="32" t="inlineStr">
        <is>
          <t>Accuracy improves with real data</t>
        </is>
      </c>
    </row>
    <row r="64">
      <c r="A64" s="19" t="inlineStr">
        <is>
          <t>Phase 4</t>
        </is>
      </c>
      <c r="B64" s="9" t="inlineStr">
        <is>
          <t>Communication</t>
        </is>
      </c>
      <c r="C64" s="9" t="inlineStr">
        <is>
          <t>WhatsApp Business API</t>
        </is>
      </c>
      <c r="D64" s="9" t="inlineStr">
        <is>
          <t>Full Delhi citizen messaging at 75K conversations/month</t>
        </is>
      </c>
      <c r="E64" s="28" t="n">
        <v>75000</v>
      </c>
      <c r="F64" s="33" t="n">
        <v>0.06</v>
      </c>
      <c r="G64" s="28">
        <f>E64*F64</f>
        <v/>
      </c>
      <c r="H64" s="29" t="inlineStr">
        <is>
          <t>Per-message pricing (July 2025). Utility templates within
     24h CSW are FREE. Rs. 0.145/message only outside window.</t>
        </is>
      </c>
    </row>
    <row r="65">
      <c r="A65" s="22" t="inlineStr">
        <is>
          <t>Phase 4</t>
        </is>
      </c>
      <c r="B65" s="23" t="inlineStr">
        <is>
          <t>Communication</t>
        </is>
      </c>
      <c r="C65" s="23" t="inlineStr">
        <is>
          <t>SendGrid Essentials 100K</t>
        </is>
      </c>
      <c r="D65" s="23" t="inlineStr">
        <is>
          <t>$34.95/mo (converted via FX cell)</t>
        </is>
      </c>
      <c r="E65" s="30" t="n">
        <v>0.5</v>
      </c>
      <c r="F65" s="31">
        <f>ROUND(34.95*$C$10,0)</f>
        <v/>
      </c>
      <c r="G65" s="31">
        <f>E65*F65</f>
        <v/>
      </c>
      <c r="H65" s="32" t="inlineStr">
        <is>
          <t>Pro plan</t>
        </is>
      </c>
    </row>
    <row r="66">
      <c r="A66" s="19" t="inlineStr">
        <is>
          <t>Phase 4</t>
        </is>
      </c>
      <c r="B66" s="9" t="inlineStr">
        <is>
          <t>Contingency</t>
        </is>
      </c>
      <c r="C66" s="9" t="inlineStr">
        <is>
          <t>Contingency Reserve</t>
        </is>
      </c>
      <c r="D66" s="9" t="inlineStr">
        <is>
          <t>Buffer for unexpected API overages, infra spikes, or integration issues</t>
        </is>
      </c>
      <c r="E66" s="28" t="n">
        <v>1</v>
      </c>
      <c r="F66" s="28" t="n">
        <v>5000</v>
      </c>
      <c r="G66" s="28">
        <f>E66*F66</f>
        <v/>
      </c>
      <c r="H66" s="29" t="inlineStr">
        <is>
          <t>Rs. 5,000 per half-month</t>
        </is>
      </c>
    </row>
    <row r="67">
      <c r="A67" s="34" t="inlineStr">
        <is>
          <t>Phase 4 Subtotal</t>
        </is>
      </c>
      <c r="B67" s="8" t="n"/>
      <c r="C67" s="8" t="n"/>
      <c r="D67" s="8" t="n"/>
      <c r="E67" s="8" t="n"/>
      <c r="F67" s="8" t="n"/>
      <c r="G67" s="35">
        <f>SUM(G55:G66)</f>
        <v/>
      </c>
      <c r="H67" s="36" t="n"/>
    </row>
    <row r="68">
      <c r="A68" s="22" t="inlineStr">
        <is>
          <t>Phase 5</t>
        </is>
      </c>
      <c r="B68" s="23" t="inlineStr">
        <is>
          <t>Infrastructure</t>
        </is>
      </c>
      <c r="C68" s="23" t="inlineStr">
        <is>
          <t>Azure Container Apps</t>
        </is>
      </c>
      <c r="D68" s="23" t="inlineStr">
        <is>
          <t>per month</t>
        </is>
      </c>
      <c r="E68" s="31" t="n">
        <v>1</v>
      </c>
      <c r="F68" s="31" t="n">
        <v>18000</v>
      </c>
      <c r="G68" s="31">
        <f>E68*F68</f>
        <v/>
      </c>
      <c r="H68" s="32" t="inlineStr">
        <is>
          <t>Consumption plan, 3 min replicas zone-redundant — recurring</t>
        </is>
      </c>
    </row>
    <row r="69">
      <c r="A69" s="19" t="inlineStr">
        <is>
          <t>Phase 5</t>
        </is>
      </c>
      <c r="B69" s="9" t="inlineStr">
        <is>
          <t>Infrastructure</t>
        </is>
      </c>
      <c r="C69" s="9" t="inlineStr">
        <is>
          <t>Azure Database for PostgreSQL</t>
        </is>
      </c>
      <c r="D69" s="9" t="inlineStr">
        <is>
          <t>per month</t>
        </is>
      </c>
      <c r="E69" s="28" t="n">
        <v>1</v>
      </c>
      <c r="F69" s="28" t="n">
        <v>33600</v>
      </c>
      <c r="G69" s="28">
        <f>E69*F69</f>
        <v/>
      </c>
      <c r="H69" s="29" t="inlineStr">
        <is>
          <t>Recurring</t>
        </is>
      </c>
    </row>
    <row r="70">
      <c r="A70" s="22" t="inlineStr">
        <is>
          <t>Phase 5</t>
        </is>
      </c>
      <c r="B70" s="23" t="inlineStr">
        <is>
          <t>Infrastructure</t>
        </is>
      </c>
      <c r="C70" s="23" t="inlineStr">
        <is>
          <t>Azure Blob Storage</t>
        </is>
      </c>
      <c r="D70" s="23" t="inlineStr">
        <is>
          <t>per month</t>
        </is>
      </c>
      <c r="E70" s="31" t="n">
        <v>1</v>
      </c>
      <c r="F70" s="31" t="n">
        <v>4000</v>
      </c>
      <c r="G70" s="31">
        <f>E70*F70</f>
        <v/>
      </c>
      <c r="H70" s="32" t="inlineStr">
        <is>
          <t>Recurring</t>
        </is>
      </c>
    </row>
    <row r="71">
      <c r="A71" s="19" t="inlineStr">
        <is>
          <t>Phase 5</t>
        </is>
      </c>
      <c r="B71" s="9" t="inlineStr">
        <is>
          <t>Infrastructure</t>
        </is>
      </c>
      <c r="C71" s="9" t="inlineStr">
        <is>
          <t>Azure Monitor</t>
        </is>
      </c>
      <c r="D71" s="9" t="inlineStr">
        <is>
          <t>per month</t>
        </is>
      </c>
      <c r="E71" s="28" t="n">
        <v>1</v>
      </c>
      <c r="F71" s="28" t="n">
        <v>5000</v>
      </c>
      <c r="G71" s="28">
        <f>E71*F71</f>
        <v/>
      </c>
      <c r="H71" s="29" t="inlineStr">
        <is>
          <t>Recurring</t>
        </is>
      </c>
    </row>
    <row r="72">
      <c r="A72" s="22" t="inlineStr">
        <is>
          <t>Phase 5</t>
        </is>
      </c>
      <c r="B72" s="23" t="inlineStr">
        <is>
          <t>Infrastructure</t>
        </is>
      </c>
      <c r="C72" s="23" t="inlineStr">
        <is>
          <t>Azure Service Bus</t>
        </is>
      </c>
      <c r="D72" s="23" t="inlineStr">
        <is>
          <t>per month</t>
        </is>
      </c>
      <c r="E72" s="31" t="n">
        <v>1</v>
      </c>
      <c r="F72" s="31" t="n">
        <v>1100</v>
      </c>
      <c r="G72" s="31">
        <f>E72*F72</f>
        <v/>
      </c>
      <c r="H72" s="32" t="inlineStr">
        <is>
          <t>Standard tier — recurring</t>
        </is>
      </c>
    </row>
    <row r="73">
      <c r="A73" s="19" t="inlineStr">
        <is>
          <t>Phase 5</t>
        </is>
      </c>
      <c r="B73" s="9" t="inlineStr">
        <is>
          <t>Infrastructure</t>
        </is>
      </c>
      <c r="C73" s="9" t="inlineStr">
        <is>
          <t>Azure Front Door CDN</t>
        </is>
      </c>
      <c r="D73" s="9" t="inlineStr">
        <is>
          <t>per month</t>
        </is>
      </c>
      <c r="E73" s="28" t="n">
        <v>1</v>
      </c>
      <c r="F73" s="28">
        <f>ROUND(330*$C$10,0)</f>
        <v/>
      </c>
      <c r="G73" s="28">
        <f>E73*F73</f>
        <v/>
      </c>
      <c r="H73" s="29" t="inlineStr">
        <is>
          <t>Recurring</t>
        </is>
      </c>
    </row>
    <row r="74">
      <c r="A74" s="22" t="inlineStr">
        <is>
          <t>Phase 5</t>
        </is>
      </c>
      <c r="B74" s="23" t="inlineStr">
        <is>
          <t>AI and ML</t>
        </is>
      </c>
      <c r="C74" s="23" t="inlineStr">
        <is>
          <t>Gemini 2.5 Flash-Lite API</t>
        </is>
      </c>
      <c r="D74" s="23" t="inlineStr">
        <is>
          <t>per month</t>
        </is>
      </c>
      <c r="E74" s="31" t="n">
        <v>1</v>
      </c>
      <c r="F74" s="31" t="n">
        <v>1400</v>
      </c>
      <c r="G74" s="31">
        <f>E74*F74</f>
        <v/>
      </c>
      <c r="H74" s="32" t="inlineStr">
        <is>
          <t>Recurring</t>
        </is>
      </c>
    </row>
    <row r="75">
      <c r="A75" s="19" t="inlineStr">
        <is>
          <t>Phase 5</t>
        </is>
      </c>
      <c r="B75" s="9" t="inlineStr">
        <is>
          <t>AI and ML</t>
        </is>
      </c>
      <c r="C75" s="9" t="inlineStr">
        <is>
          <t>Azure Machine Learning</t>
        </is>
      </c>
      <c r="D75" s="9" t="inlineStr">
        <is>
          <t>per month amortized</t>
        </is>
      </c>
      <c r="E75" s="28" t="n">
        <v>1</v>
      </c>
      <c r="F75" s="28" t="n">
        <v>5000</v>
      </c>
      <c r="G75" s="28">
        <f>E75*F75</f>
        <v/>
      </c>
      <c r="H75" s="29" t="inlineStr">
        <is>
          <t>Quarterly retraining</t>
        </is>
      </c>
    </row>
    <row r="76">
      <c r="A76" s="22" t="inlineStr">
        <is>
          <t>Phase 5</t>
        </is>
      </c>
      <c r="B76" s="23" t="inlineStr">
        <is>
          <t>Communication</t>
        </is>
      </c>
      <c r="C76" s="23" t="inlineStr">
        <is>
          <t>WhatsApp Business API</t>
        </is>
      </c>
      <c r="D76" s="23" t="inlineStr">
        <is>
          <t>per month</t>
        </is>
      </c>
      <c r="E76" s="31" t="n">
        <v>1</v>
      </c>
      <c r="F76" s="31" t="n">
        <v>6000</v>
      </c>
      <c r="G76" s="31">
        <f>E76*F76</f>
        <v/>
      </c>
      <c r="H76" s="32" t="inlineStr">
        <is>
          <t>Per-message pricing (July 2025) — recurring. Meta bills INR
     directly for India.</t>
        </is>
      </c>
    </row>
    <row r="77">
      <c r="A77" s="19" t="inlineStr">
        <is>
          <t>Phase 5</t>
        </is>
      </c>
      <c r="B77" s="9" t="inlineStr">
        <is>
          <t>Communication</t>
        </is>
      </c>
      <c r="C77" s="9" t="inlineStr">
        <is>
          <t>SendGrid Essentials 100K</t>
        </is>
      </c>
      <c r="D77" s="9" t="inlineStr">
        <is>
          <t>per month</t>
        </is>
      </c>
      <c r="E77" s="28" t="n">
        <v>1</v>
      </c>
      <c r="F77" s="28">
        <f>ROUND(34.95*$C$10,0)</f>
        <v/>
      </c>
      <c r="G77" s="28">
        <f>E77*F77</f>
        <v/>
      </c>
      <c r="H77" s="29" t="inlineStr">
        <is>
          <t>Recurring</t>
        </is>
      </c>
    </row>
    <row r="78">
      <c r="A78" s="22" t="inlineStr">
        <is>
          <t>Phase 5</t>
        </is>
      </c>
      <c r="B78" s="23" t="inlineStr">
        <is>
          <t>Infrastructure</t>
        </is>
      </c>
      <c r="C78" s="23" t="inlineStr">
        <is>
          <t>Azure backup and compliance</t>
        </is>
      </c>
      <c r="D78" s="23" t="inlineStr">
        <is>
          <t>per month</t>
        </is>
      </c>
      <c r="E78" s="31" t="n">
        <v>1</v>
      </c>
      <c r="F78" s="31" t="n">
        <v>1500</v>
      </c>
      <c r="G78" s="31">
        <f>E78*F78</f>
        <v/>
      </c>
      <c r="H78" s="32" t="inlineStr">
        <is>
          <t>Recurring</t>
        </is>
      </c>
    </row>
    <row r="79">
      <c r="A79" s="19" t="inlineStr">
        <is>
          <t>Phase 5</t>
        </is>
      </c>
      <c r="B79" s="9" t="inlineStr">
        <is>
          <t>Infrastructure</t>
        </is>
      </c>
      <c r="C79" s="9" t="inlineStr">
        <is>
          <t>Azure Monitor log analytics</t>
        </is>
      </c>
      <c r="D79" s="9" t="inlineStr">
        <is>
          <t>per month</t>
        </is>
      </c>
      <c r="E79" s="28" t="n">
        <v>1</v>
      </c>
      <c r="F79" s="28">
        <f>ROUND(30*2.76*$C$10,0)</f>
        <v/>
      </c>
      <c r="G79" s="28">
        <f>E79*F79</f>
        <v/>
      </c>
      <c r="H79" s="29" t="inlineStr">
        <is>
          <t>Log Analytics PAYG: ~30 GB/mo ingested × $2.76/GB × FX.
     5 GB/mo free. Source: azure.microsoft.com/pricing/details/monitor</t>
        </is>
      </c>
    </row>
    <row r="80">
      <c r="A80" s="22" t="inlineStr">
        <is>
          <t>Phase 5</t>
        </is>
      </c>
      <c r="B80" s="23" t="inlineStr">
        <is>
          <t>Contingency</t>
        </is>
      </c>
      <c r="C80" s="23" t="inlineStr">
        <is>
          <t>Contingency Reserve</t>
        </is>
      </c>
      <c r="D80" s="23" t="inlineStr">
        <is>
          <t>Buffer for unexpected API overages, infra spikes, or integration issues</t>
        </is>
      </c>
      <c r="E80" s="31" t="n">
        <v>1</v>
      </c>
      <c r="F80" s="31" t="n">
        <v>10000</v>
      </c>
      <c r="G80" s="31">
        <f>E80*F80</f>
        <v/>
      </c>
      <c r="H80" s="32" t="inlineStr">
        <is>
          <t>Rs. 5,000 per half-month × 2 = Rs. 10,000/month</t>
        </is>
      </c>
    </row>
    <row r="81">
      <c r="A81" s="37" t="inlineStr">
        <is>
          <t>Phase 5 Subtotal</t>
        </is>
      </c>
      <c r="B81" s="12" t="n"/>
      <c r="C81" s="12" t="n"/>
      <c r="D81" s="12" t="n"/>
      <c r="E81" s="12" t="n"/>
      <c r="F81" s="12" t="n"/>
      <c r="G81" s="38">
        <f>SUM(G68:G80)</f>
        <v/>
      </c>
      <c r="H81" s="39" t="n"/>
    </row>
    <row r="82"/>
    <row r="83"/>
    <row r="84">
      <c r="A84" s="4" t="inlineStr">
        <is>
          <t>SECTION 4 — UNIT ECONOMICS</t>
        </is>
      </c>
      <c r="B84" s="5" t="n"/>
      <c r="C84" s="5" t="n"/>
      <c r="D84" s="5" t="n"/>
      <c r="E84" s="5" t="n"/>
      <c r="F84" s="5" t="n"/>
      <c r="G84" s="5" t="n"/>
      <c r="H84" s="6" t="n"/>
    </row>
    <row r="85">
      <c r="A85" s="40" t="inlineStr">
        <is>
          <t>Unit Economics and Value Justification</t>
        </is>
      </c>
      <c r="B85" s="8" t="n"/>
      <c r="C85" s="8" t="n"/>
      <c r="D85" s="8" t="n"/>
      <c r="E85" s="8" t="n"/>
      <c r="F85" s="8" t="n"/>
      <c r="G85" s="8" t="n"/>
      <c r="H85" s="10" t="n"/>
    </row>
    <row r="86">
      <c r="A86" s="16" t="inlineStr">
        <is>
          <t>Metric</t>
        </is>
      </c>
      <c r="B86" s="17" t="inlineStr">
        <is>
          <t>Value</t>
        </is>
      </c>
      <c r="C86" s="17" t="n"/>
      <c r="D86" s="17" t="n"/>
      <c r="E86" s="17" t="n"/>
      <c r="F86" s="17" t="n"/>
      <c r="G86" s="17" t="n"/>
      <c r="H86" s="18" t="n"/>
    </row>
    <row r="87">
      <c r="A87" s="41" t="inlineStr">
        <is>
          <t>Total deployment cost Phases 1-4</t>
        </is>
      </c>
      <c r="B87" s="42">
        <f>G32+G41+G54+G67</f>
        <v/>
      </c>
      <c r="C87" s="8" t="n"/>
      <c r="D87" s="8" t="n"/>
      <c r="E87" s="8" t="n"/>
      <c r="F87" s="8" t="n"/>
      <c r="G87" s="8" t="n"/>
      <c r="H87" s="10" t="n"/>
    </row>
    <row r="88">
      <c r="A88" s="43" t="inlineStr">
        <is>
          <t>Annual steady state cost Year 2</t>
        </is>
      </c>
      <c r="B88" s="44">
        <f>G81*12</f>
        <v/>
      </c>
      <c r="C88" s="45" t="n"/>
      <c r="D88" s="45" t="n"/>
      <c r="E88" s="45" t="n"/>
      <c r="F88" s="45" t="n"/>
      <c r="G88" s="45" t="n"/>
      <c r="H88" s="46" t="n"/>
    </row>
    <row r="89">
      <c r="A89" s="41" t="inlineStr">
        <is>
          <t>Cost per ward per month at full scale</t>
        </is>
      </c>
      <c r="B89" s="47">
        <f>G81/272</f>
        <v/>
      </c>
      <c r="C89" s="8" t="n"/>
      <c r="D89" s="8" t="n"/>
      <c r="E89" s="8" t="n"/>
      <c r="F89" s="8" t="n"/>
      <c r="G89" s="8" t="n"/>
      <c r="H89" s="10" t="n"/>
    </row>
    <row r="90">
      <c r="A90" s="43" t="inlineStr">
        <is>
          <t>Cost per complaint at full scale</t>
        </is>
      </c>
      <c r="B90" s="48">
        <f>G81/100000</f>
        <v/>
      </c>
      <c r="C90" s="45" t="n"/>
      <c r="D90" s="45" t="n"/>
      <c r="E90" s="45" t="n"/>
      <c r="F90" s="45" t="n"/>
      <c r="G90" s="45" t="n"/>
      <c r="H90" s="46" t="n"/>
    </row>
    <row r="91">
      <c r="A91" s="41" t="inlineStr">
        <is>
          <t>Citizens served estimate</t>
        </is>
      </c>
      <c r="B91" s="42" t="n">
        <v>200000000</v>
      </c>
      <c r="C91" s="8" t="n"/>
      <c r="D91" s="8" t="n"/>
      <c r="E91" s="8" t="n"/>
      <c r="F91" s="8" t="n"/>
      <c r="G91" s="8" t="n"/>
      <c r="H91" s="10" t="n"/>
    </row>
    <row r="92">
      <c r="A92" s="43" t="inlineStr">
        <is>
          <t>Cost per citizen per year</t>
        </is>
      </c>
      <c r="B92" s="48">
        <f>G81*12/200000000</f>
        <v/>
      </c>
      <c r="C92" s="45" t="n"/>
      <c r="D92" s="45" t="n"/>
      <c r="E92" s="45" t="n"/>
      <c r="F92" s="45" t="n"/>
      <c r="G92" s="45" t="n"/>
      <c r="H92" s="46" t="n"/>
    </row>
    <row r="93">
      <c r="A93" s="41" t="inlineStr">
        <is>
          <t>Wards covered at full deployment</t>
        </is>
      </c>
      <c r="B93" s="42" t="n">
        <v>272</v>
      </c>
      <c r="C93" s="8" t="n"/>
      <c r="D93" s="8" t="n"/>
      <c r="E93" s="8" t="n"/>
      <c r="F93" s="8" t="n"/>
      <c r="G93" s="8" t="n"/>
      <c r="H93" s="10" t="n"/>
    </row>
    <row r="94">
      <c r="A94" s="43" t="inlineStr">
        <is>
          <t>Languages supported</t>
        </is>
      </c>
      <c r="B94" s="23" t="inlineStr">
        <is>
          <t>Hindi and English</t>
        </is>
      </c>
      <c r="C94" s="45" t="n"/>
      <c r="D94" s="45" t="n"/>
      <c r="E94" s="45" t="n"/>
      <c r="F94" s="45" t="n"/>
      <c r="G94" s="45" t="n"/>
      <c r="H94" s="46" t="n"/>
    </row>
    <row r="95">
      <c r="A95" s="41" t="inlineStr">
        <is>
          <t>Complaints processed per year estimate</t>
        </is>
      </c>
      <c r="B95" s="42" t="n">
        <v>1200000</v>
      </c>
      <c r="C95" s="8" t="n"/>
      <c r="D95" s="8" t="n"/>
      <c r="E95" s="8" t="n"/>
      <c r="F95" s="8" t="n"/>
      <c r="G95" s="8" t="n"/>
      <c r="H95" s="10" t="n"/>
    </row>
    <row r="96">
      <c r="A96" s="49" t="n"/>
      <c r="B96" s="50" t="n"/>
      <c r="C96" s="50" t="n"/>
      <c r="D96" s="50" t="n"/>
      <c r="E96" s="50" t="n"/>
      <c r="F96" s="50" t="n"/>
      <c r="G96" s="50" t="n"/>
      <c r="H96" s="51" t="n"/>
    </row>
    <row r="97">
      <c r="A97" s="19" t="inlineStr">
        <is>
          <t>Cost per complaint includes AI classification (with voice note support via Gemini 2.5 Flash-Lite), WhatsApp messaging, cloud infrastructure, email notifications, and ML-based auto-escalation — delivered at a fraction of the cost of traditional call-centre based grievance systems.</t>
        </is>
      </c>
      <c r="B97" s="8" t="n"/>
      <c r="C97" s="8" t="n"/>
      <c r="D97" s="8" t="n"/>
      <c r="E97" s="8" t="n"/>
      <c r="F97" s="8" t="n"/>
      <c r="G97" s="8" t="n"/>
      <c r="H97" s="10" t="n"/>
    </row>
    <row r="98">
      <c r="A98" s="52" t="n"/>
      <c r="B98" s="12" t="n"/>
      <c r="C98" s="12" t="n"/>
      <c r="D98" s="12" t="n"/>
      <c r="E98" s="12" t="n"/>
      <c r="F98" s="12" t="n"/>
      <c r="G98" s="12" t="n"/>
      <c r="H98" s="15" t="n"/>
    </row>
  </sheetData>
  <mergeCells count="36">
    <mergeCell ref="A41:F41"/>
    <mergeCell ref="A54:F54"/>
    <mergeCell ref="D10:H10"/>
    <mergeCell ref="C9:H9"/>
    <mergeCell ref="B92:H92"/>
    <mergeCell ref="B95:H95"/>
    <mergeCell ref="A1:H1"/>
    <mergeCell ref="A6:B6"/>
    <mergeCell ref="B89:H89"/>
    <mergeCell ref="B94:H94"/>
    <mergeCell ref="A7:B7"/>
    <mergeCell ref="A32:F32"/>
    <mergeCell ref="B91:H91"/>
    <mergeCell ref="A97:H98"/>
    <mergeCell ref="C8:H8"/>
    <mergeCell ref="B90:H90"/>
    <mergeCell ref="A84:H84"/>
    <mergeCell ref="C7:H7"/>
    <mergeCell ref="A81:F81"/>
    <mergeCell ref="A21:E21"/>
    <mergeCell ref="A3:H3"/>
    <mergeCell ref="B93:H93"/>
    <mergeCell ref="A13:F13"/>
    <mergeCell ref="A2:H2"/>
    <mergeCell ref="A67:F67"/>
    <mergeCell ref="A85:H85"/>
    <mergeCell ref="B86:H86"/>
    <mergeCell ref="A5:H5"/>
    <mergeCell ref="A23:H23"/>
    <mergeCell ref="A8:B8"/>
    <mergeCell ref="C6:H6"/>
    <mergeCell ref="A20:E20"/>
    <mergeCell ref="B88:H88"/>
    <mergeCell ref="A10:B10"/>
    <mergeCell ref="B87:H87"/>
    <mergeCell ref="A9:B9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2026-05-24T06:50:55Z</dcterms:created>
  <dcterms:modified xsi:type="dcterms:W3CDTF">2026-05-24T06:50:56Z</dcterms:modified>
</cp:coreProperties>
</file>